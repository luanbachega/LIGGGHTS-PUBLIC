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Estu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0" fillId="2" borderId="0" pivotButton="0" quotePrefix="0" xfId="0"/>
    <xf numFmtId="0" fontId="1" fillId="0" borderId="0" applyAlignment="1" pivotButton="0" quotePrefix="0" xfId="0">
      <alignment vertical="top" wrapText="1"/>
    </xf>
    <xf numFmtId="3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151 Estudo de Viabilidade – premissas (células amarelas são editáveis)</t>
        </is>
      </c>
    </row>
    <row r="3">
      <c r="A3" t="inlineStr">
        <is>
          <t>Preço 2Q (R$/m² privativo)</t>
        </is>
      </c>
      <c r="B3" s="2" t="n">
        <v>7000</v>
      </c>
    </row>
    <row r="4">
      <c r="A4" t="inlineStr">
        <is>
          <t>Preço studio (R$/m² privativo)</t>
        </is>
      </c>
      <c r="B4" s="2" t="n">
        <v>8400</v>
      </c>
    </row>
    <row r="5">
      <c r="A5" t="inlineStr">
        <is>
          <t>Preço vaga excedente (R$)</t>
        </is>
      </c>
      <c r="B5" s="2" t="n">
        <v>35000</v>
      </c>
    </row>
    <row r="6">
      <c r="A6" t="inlineStr">
        <is>
          <t>Custo por unidade adicional (R$)</t>
        </is>
      </c>
      <c r="B6" s="2" t="n">
        <v>15000</v>
      </c>
    </row>
    <row r="7">
      <c r="A7" t="inlineStr">
        <is>
          <t>CUB-PR ago/2026 (R$/m²)</t>
        </is>
      </c>
      <c r="B7" s="2" t="n">
        <v>2730.31</v>
      </c>
    </row>
    <row r="8">
      <c r="A8" t="inlineStr">
        <is>
          <t>GI estimado EIV</t>
        </is>
      </c>
      <c r="B8" s="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Estudo</t>
        </is>
      </c>
      <c r="B1" s="3" t="inlineStr">
        <is>
          <t>Unid.</t>
        </is>
      </c>
      <c r="C1" s="3" t="inlineStr">
        <is>
          <t>Aptos 2Q</t>
        </is>
      </c>
      <c r="D1" s="3" t="inlineStr">
        <is>
          <t>Studios</t>
        </is>
      </c>
      <c r="E1" s="3" t="inlineStr">
        <is>
          <t>Priv. 2Q (m²)</t>
        </is>
      </c>
      <c r="F1" s="3" t="inlineStr">
        <is>
          <t>Priv. studios (m²)</t>
        </is>
      </c>
      <c r="G1" s="3" t="inlineStr">
        <is>
          <t>Vagas</t>
        </is>
      </c>
      <c r="H1" s="3" t="inlineStr">
        <is>
          <t>Vagas exigidas</t>
        </is>
      </c>
      <c r="I1" s="3" t="inlineStr">
        <is>
          <t>Excedentes</t>
        </is>
      </c>
      <c r="J1" s="3" t="inlineStr">
        <is>
          <t>Área construída (m²)</t>
        </is>
      </c>
      <c r="K1" s="3" t="inlineStr">
        <is>
          <t>Custo fixo (R$)</t>
        </is>
      </c>
      <c r="L1" s="3" t="inlineStr">
        <is>
          <t>Unid. adicionais vs R00</t>
        </is>
      </c>
      <c r="M1" s="3" t="inlineStr">
        <is>
          <t>Custo obra (R$)</t>
        </is>
      </c>
      <c r="N1" s="3" t="inlineStr">
        <is>
          <t>VGV (R$)</t>
        </is>
      </c>
      <c r="O1" s="3" t="inlineStr">
        <is>
          <t>AP (EIV)</t>
        </is>
      </c>
      <c r="P1" s="3" t="inlineStr">
        <is>
          <t>Exige EIV (1/0)</t>
        </is>
      </c>
      <c r="Q1" s="3" t="inlineStr">
        <is>
          <t>Contrapartida EIV (R$)</t>
        </is>
      </c>
      <c r="R1" s="3" t="inlineStr">
        <is>
          <t>Resultado (R$)</t>
        </is>
      </c>
      <c r="S1" s="3" t="inlineStr">
        <is>
          <t>Margem</t>
        </is>
      </c>
    </row>
    <row r="2">
      <c r="A2" t="inlineStr">
        <is>
          <t>A – só térreo</t>
        </is>
      </c>
      <c r="B2" t="n">
        <v>120</v>
      </c>
      <c r="C2" t="n">
        <v>120</v>
      </c>
      <c r="D2" t="n">
        <v>0</v>
      </c>
      <c r="E2" s="4" t="n">
        <v>5107.2</v>
      </c>
      <c r="F2" s="4" t="n">
        <v>0</v>
      </c>
      <c r="G2" t="n">
        <v>127</v>
      </c>
      <c r="H2" t="n">
        <v>126</v>
      </c>
      <c r="I2">
        <f>MAX(0,G2-H2)</f>
        <v/>
      </c>
      <c r="J2" s="4" t="n">
        <v>7209.34</v>
      </c>
      <c r="K2" s="4" t="n">
        <v>25000000</v>
      </c>
      <c r="L2" t="n">
        <v>0</v>
      </c>
      <c r="M2" s="4">
        <f>K2+L2*Premissas!$B$6</f>
        <v/>
      </c>
      <c r="N2" s="4">
        <f>E2*Premissas!$B$3+F2*Premissas!$B$4+I2*Premissas!$B$5</f>
        <v/>
      </c>
      <c r="O2" t="n">
        <v>1</v>
      </c>
      <c r="P2" t="n">
        <v>0</v>
      </c>
      <c r="Q2" s="4">
        <f>P2*Premissas!$B$8*O2*0.25*J2*Premissas!$B$7</f>
        <v/>
      </c>
      <c r="R2" s="4">
        <f>N2-M2-Q2</f>
        <v/>
      </c>
      <c r="S2" s="5">
        <f>R2/N2</f>
        <v/>
      </c>
    </row>
    <row r="3">
      <c r="A3" t="inlineStr">
        <is>
          <t>B – térreo + 2 pav.</t>
        </is>
      </c>
      <c r="B3" t="n">
        <v>160</v>
      </c>
      <c r="C3" t="n">
        <v>160</v>
      </c>
      <c r="D3" t="n">
        <v>0</v>
      </c>
      <c r="E3" s="4" t="n">
        <v>6809.6</v>
      </c>
      <c r="F3" s="4" t="n">
        <v>0</v>
      </c>
      <c r="G3" t="n">
        <v>182</v>
      </c>
      <c r="H3" t="n">
        <v>168</v>
      </c>
      <c r="I3">
        <f>MAX(0,G3-H3)</f>
        <v/>
      </c>
      <c r="J3" s="4" t="n">
        <v>13066.62</v>
      </c>
      <c r="K3" s="4" t="n">
        <v>41300000</v>
      </c>
      <c r="L3" t="n">
        <v>0</v>
      </c>
      <c r="M3" s="4">
        <f>K3+L3*Premissas!$B$6</f>
        <v/>
      </c>
      <c r="N3" s="4">
        <f>E3*Premissas!$B$3+F3*Premissas!$B$4+I3*Premissas!$B$5</f>
        <v/>
      </c>
      <c r="O3" t="n">
        <v>1</v>
      </c>
      <c r="P3" t="n">
        <v>1</v>
      </c>
      <c r="Q3" s="4">
        <f>P3*Premissas!$B$8*O3*0.25*J3*Premissas!$B$7</f>
        <v/>
      </c>
      <c r="R3" s="4">
        <f>N3-M3-Q3</f>
        <v/>
      </c>
      <c r="S3" s="5">
        <f>R3/N3</f>
        <v/>
      </c>
    </row>
    <row r="4">
      <c r="A4" t="inlineStr">
        <is>
          <t>C – 1 subsolo</t>
        </is>
      </c>
      <c r="B4" t="n">
        <v>180</v>
      </c>
      <c r="C4" t="n">
        <v>180</v>
      </c>
      <c r="D4" t="n">
        <v>0</v>
      </c>
      <c r="E4" s="4" t="n">
        <v>7660.8</v>
      </c>
      <c r="F4" s="4" t="n">
        <v>0</v>
      </c>
      <c r="G4" t="n">
        <v>199</v>
      </c>
      <c r="H4" t="n">
        <v>189</v>
      </c>
      <c r="I4">
        <f>MAX(0,G4-H4)</f>
        <v/>
      </c>
      <c r="J4" s="4" t="n">
        <v>13494.12</v>
      </c>
      <c r="K4" s="4" t="n">
        <v>46800000</v>
      </c>
      <c r="L4" t="n">
        <v>0</v>
      </c>
      <c r="M4" s="4">
        <f>K4+L4*Premissas!$B$6</f>
        <v/>
      </c>
      <c r="N4" s="4">
        <f>E4*Premissas!$B$3+F4*Premissas!$B$4+I4*Premissas!$B$5</f>
        <v/>
      </c>
      <c r="O4" t="n">
        <v>1</v>
      </c>
      <c r="P4" t="n">
        <v>1</v>
      </c>
      <c r="Q4" s="4">
        <f>P4*Premissas!$B$8*O4*0.25*J4*Premissas!$B$7</f>
        <v/>
      </c>
      <c r="R4" s="4">
        <f>N4-M4-Q4</f>
        <v/>
      </c>
      <c r="S4" s="5">
        <f>R4/N4</f>
        <v/>
      </c>
    </row>
    <row r="5">
      <c r="A5" t="inlineStr">
        <is>
          <t>D – edif. garagem</t>
        </is>
      </c>
      <c r="B5" t="n">
        <v>136</v>
      </c>
      <c r="C5" t="n">
        <v>136</v>
      </c>
      <c r="D5" t="n">
        <v>0</v>
      </c>
      <c r="E5" s="4" t="n">
        <v>5788.16</v>
      </c>
      <c r="F5" s="4" t="n">
        <v>0</v>
      </c>
      <c r="G5" t="n">
        <v>146</v>
      </c>
      <c r="H5" t="n">
        <v>142</v>
      </c>
      <c r="I5">
        <f>MAX(0,G5-H5)</f>
        <v/>
      </c>
      <c r="J5" s="4" t="n">
        <v>11094.58</v>
      </c>
      <c r="K5" s="4" t="n">
        <v>33200000</v>
      </c>
      <c r="L5" t="n">
        <v>0</v>
      </c>
      <c r="M5" s="4">
        <f>K5+L5*Premissas!$B$6</f>
        <v/>
      </c>
      <c r="N5" s="4">
        <f>E5*Premissas!$B$3+F5*Premissas!$B$4+I5*Premissas!$B$5</f>
        <v/>
      </c>
      <c r="O5" t="n">
        <v>1</v>
      </c>
      <c r="P5" t="n">
        <v>1</v>
      </c>
      <c r="Q5" s="4">
        <f>P5*Premissas!$B$8*O5*0.25*J5*Premissas!$B$7</f>
        <v/>
      </c>
      <c r="R5" s="4">
        <f>N5-M5-Q5</f>
        <v/>
      </c>
      <c r="S5" s="5">
        <f>R5/N5</f>
        <v/>
      </c>
    </row>
    <row r="6">
      <c r="A6" t="inlineStr">
        <is>
          <t>A2 – só térreo + studios</t>
        </is>
      </c>
      <c r="B6" t="n">
        <v>160</v>
      </c>
      <c r="C6" t="n">
        <v>64</v>
      </c>
      <c r="D6" t="n">
        <v>96</v>
      </c>
      <c r="E6" s="4" t="n">
        <v>2723.84</v>
      </c>
      <c r="F6" s="4" t="n">
        <v>2604.48</v>
      </c>
      <c r="G6" t="n">
        <v>127</v>
      </c>
      <c r="H6" t="n">
        <v>100</v>
      </c>
      <c r="I6">
        <f>MAX(0,G6-H6)</f>
        <v/>
      </c>
      <c r="J6" s="4" t="n">
        <v>7616.82</v>
      </c>
      <c r="K6" s="4" t="n">
        <v>26413955.6</v>
      </c>
      <c r="L6" t="n">
        <v>40</v>
      </c>
      <c r="M6" s="4">
        <f>K6+L6*Premissas!$B$6</f>
        <v/>
      </c>
      <c r="N6" s="4">
        <f>E6*Premissas!$B$3+F6*Premissas!$B$4+I6*Premissas!$B$5</f>
        <v/>
      </c>
      <c r="O6" t="n">
        <v>1</v>
      </c>
      <c r="P6" t="n">
        <v>1</v>
      </c>
      <c r="Q6" s="4">
        <f>P6*Premissas!$B$8*O6*0.25*J6*Premissas!$B$7</f>
        <v/>
      </c>
      <c r="R6" s="4">
        <f>N6-M6-Q6</f>
        <v/>
      </c>
      <c r="S6" s="5">
        <f>R6/N6</f>
        <v/>
      </c>
    </row>
    <row r="7">
      <c r="A7" t="inlineStr">
        <is>
          <t>B2 – térreo + 2 pav. + studios</t>
        </is>
      </c>
      <c r="B7" t="n">
        <v>200</v>
      </c>
      <c r="C7" t="n">
        <v>80</v>
      </c>
      <c r="D7" t="n">
        <v>120</v>
      </c>
      <c r="E7" s="4" t="n">
        <v>3404.8</v>
      </c>
      <c r="F7" s="4" t="n">
        <v>3255.6</v>
      </c>
      <c r="G7" t="n">
        <v>182</v>
      </c>
      <c r="H7" t="n">
        <v>126</v>
      </c>
      <c r="I7">
        <f>MAX(0,G7-H7)</f>
        <v/>
      </c>
      <c r="J7" s="4" t="n">
        <v>13066.62</v>
      </c>
      <c r="K7" s="4" t="n">
        <v>41300000</v>
      </c>
      <c r="L7" t="n">
        <v>40</v>
      </c>
      <c r="M7" s="4">
        <f>K7+L7*Premissas!$B$6</f>
        <v/>
      </c>
      <c r="N7" s="4">
        <f>E7*Premissas!$B$3+F7*Premissas!$B$4+I7*Premissas!$B$5</f>
        <v/>
      </c>
      <c r="O7" t="n">
        <v>1</v>
      </c>
      <c r="P7" t="n">
        <v>1</v>
      </c>
      <c r="Q7" s="4">
        <f>P7*Premissas!$B$8*O7*0.25*J7*Premissas!$B$7</f>
        <v/>
      </c>
      <c r="R7" s="4">
        <f>N7-M7-Q7</f>
        <v/>
      </c>
      <c r="S7" s="5">
        <f>R7/N7</f>
        <v/>
      </c>
    </row>
    <row r="8">
      <c r="A8" t="inlineStr">
        <is>
          <t>C2 – subsolo reduzido + studios</t>
        </is>
      </c>
      <c r="B8" t="n">
        <v>216</v>
      </c>
      <c r="C8" t="n">
        <v>108</v>
      </c>
      <c r="D8" t="n">
        <v>108</v>
      </c>
      <c r="E8" s="4" t="n">
        <v>4563</v>
      </c>
      <c r="F8" s="4" t="n">
        <v>2930.04</v>
      </c>
      <c r="G8" t="n">
        <v>151</v>
      </c>
      <c r="H8" t="n">
        <v>151</v>
      </c>
      <c r="I8">
        <f>MAX(0,G8-H8)</f>
        <v/>
      </c>
      <c r="J8" s="4" t="n">
        <v>12293.48</v>
      </c>
      <c r="K8" s="4" t="n">
        <v>42580951.04</v>
      </c>
      <c r="L8" t="n">
        <v>36</v>
      </c>
      <c r="M8" s="4">
        <f>K8+L8*Premissas!$B$6</f>
        <v/>
      </c>
      <c r="N8" s="4">
        <f>E8*Premissas!$B$3+F8*Premissas!$B$4+I8*Premissas!$B$5</f>
        <v/>
      </c>
      <c r="O8" t="n">
        <v>1.25</v>
      </c>
      <c r="P8" t="n">
        <v>1</v>
      </c>
      <c r="Q8" s="4">
        <f>P8*Premissas!$B$8*O8*0.25*J8*Premissas!$B$7</f>
        <v/>
      </c>
      <c r="R8" s="4">
        <f>N8-M8-Q8</f>
        <v/>
      </c>
      <c r="S8" s="5">
        <f>R8/N8</f>
        <v/>
      </c>
    </row>
    <row r="9">
      <c r="A9" t="inlineStr">
        <is>
          <t>D2 – edif. garagem + studios</t>
        </is>
      </c>
      <c r="B9" t="n">
        <v>180</v>
      </c>
      <c r="C9" t="n">
        <v>72</v>
      </c>
      <c r="D9" t="n">
        <v>108</v>
      </c>
      <c r="E9" s="4" t="n">
        <v>3064.32</v>
      </c>
      <c r="F9" s="4" t="n">
        <v>2930.04</v>
      </c>
      <c r="G9" t="n">
        <v>123</v>
      </c>
      <c r="H9" t="n">
        <v>113</v>
      </c>
      <c r="I9">
        <f>MAX(0,G9-H9)</f>
        <v/>
      </c>
      <c r="J9" s="4" t="n">
        <v>10735.05</v>
      </c>
      <c r="K9" s="4" t="n">
        <v>33336116.94</v>
      </c>
      <c r="L9" t="n">
        <v>44</v>
      </c>
      <c r="M9" s="4">
        <f>K9+L9*Premissas!$B$6</f>
        <v/>
      </c>
      <c r="N9" s="4">
        <f>E9*Premissas!$B$3+F9*Premissas!$B$4+I9*Premissas!$B$5</f>
        <v/>
      </c>
      <c r="O9" t="n">
        <v>1</v>
      </c>
      <c r="P9" t="n">
        <v>1</v>
      </c>
      <c r="Q9" s="4">
        <f>P9*Premissas!$B$8*O9*0.25*J9*Premissas!$B$7</f>
        <v/>
      </c>
      <c r="R9" s="4">
        <f>N9-M9-Q9</f>
        <v/>
      </c>
      <c r="S9" s="5">
        <f>R9/N9</f>
        <v/>
      </c>
    </row>
    <row r="10">
      <c r="A10" t="inlineStr">
        <is>
          <t>C3 – sem subsolo, 100% studios</t>
        </is>
      </c>
      <c r="B10" t="n">
        <v>252</v>
      </c>
      <c r="C10" t="n">
        <v>0</v>
      </c>
      <c r="D10" t="n">
        <v>252</v>
      </c>
      <c r="E10" s="4" t="n">
        <v>0</v>
      </c>
      <c r="F10" s="4" t="n">
        <v>7324.92</v>
      </c>
      <c r="G10" t="n">
        <v>91</v>
      </c>
      <c r="H10" t="n">
        <v>88</v>
      </c>
      <c r="I10">
        <f>MAX(0,G10-H10)</f>
        <v/>
      </c>
      <c r="J10" s="4" t="n">
        <v>10492.52</v>
      </c>
      <c r="K10" s="4" t="n">
        <v>36252377.6</v>
      </c>
      <c r="L10" t="n">
        <v>72</v>
      </c>
      <c r="M10" s="4">
        <f>K10+L10*Premissas!$B$6</f>
        <v/>
      </c>
      <c r="N10" s="4">
        <f>E10*Premissas!$B$3+F10*Premissas!$B$4+I10*Premissas!$B$5</f>
        <v/>
      </c>
      <c r="O10" t="n">
        <v>1.25</v>
      </c>
      <c r="P10" t="n">
        <v>1</v>
      </c>
      <c r="Q10" s="4">
        <f>P10*Premissas!$B$8*O10*0.25*J10*Premissas!$B$7</f>
        <v/>
      </c>
      <c r="R10" s="4">
        <f>N10-M10-Q10</f>
        <v/>
      </c>
      <c r="S10" s="5">
        <f>R10/N10</f>
        <v/>
      </c>
    </row>
    <row r="11">
      <c r="A11" t="inlineStr">
        <is>
          <t>A2 – só térreo + studios 100%</t>
        </is>
      </c>
      <c r="B11" t="n">
        <v>192</v>
      </c>
      <c r="C11" t="n">
        <v>0</v>
      </c>
      <c r="D11" t="n">
        <v>192</v>
      </c>
      <c r="E11" s="4" t="n">
        <v>0</v>
      </c>
      <c r="F11" s="4" t="n">
        <v>5208.96</v>
      </c>
      <c r="G11" t="n">
        <v>127</v>
      </c>
      <c r="H11" t="n">
        <v>67</v>
      </c>
      <c r="I11">
        <f>MAX(0,G11-H11)</f>
        <v/>
      </c>
      <c r="J11" s="4" t="n">
        <v>7616.82</v>
      </c>
      <c r="K11" s="4" t="n">
        <v>26413955.6</v>
      </c>
      <c r="L11" t="n">
        <v>72</v>
      </c>
      <c r="M11" s="4">
        <f>K11+L11*Premissas!$B$6</f>
        <v/>
      </c>
      <c r="N11" s="4">
        <f>E11*Premissas!$B$3+F11*Premissas!$B$4+I11*Premissas!$B$5</f>
        <v/>
      </c>
      <c r="O11" t="n">
        <v>1</v>
      </c>
      <c r="P11" t="n">
        <v>1</v>
      </c>
      <c r="Q11" s="4">
        <f>P11*Premissas!$B$8*O11*0.25*J11*Premissas!$B$7</f>
        <v/>
      </c>
      <c r="R11" s="4">
        <f>N11-M11-Q11</f>
        <v/>
      </c>
      <c r="S11" s="5">
        <f>R11/N11</f>
        <v/>
      </c>
    </row>
    <row r="12">
      <c r="A12" t="inlineStr">
        <is>
          <t>B2 – térreo + 2 pav. + studios 100%</t>
        </is>
      </c>
      <c r="B12" t="n">
        <v>240</v>
      </c>
      <c r="C12" t="n">
        <v>0</v>
      </c>
      <c r="D12" t="n">
        <v>240</v>
      </c>
      <c r="E12" s="4" t="n">
        <v>0</v>
      </c>
      <c r="F12" s="4" t="n">
        <v>6511.2</v>
      </c>
      <c r="G12" t="n">
        <v>158</v>
      </c>
      <c r="H12" t="n">
        <v>84</v>
      </c>
      <c r="I12">
        <f>MAX(0,G12-H12)</f>
        <v/>
      </c>
      <c r="J12" s="4" t="n">
        <v>13066.62</v>
      </c>
      <c r="K12" s="4" t="n">
        <v>41300000</v>
      </c>
      <c r="L12" t="n">
        <v>80</v>
      </c>
      <c r="M12" s="4">
        <f>K12+L12*Premissas!$B$6</f>
        <v/>
      </c>
      <c r="N12" s="4">
        <f>E12*Premissas!$B$3+F12*Premissas!$B$4+I12*Premissas!$B$5</f>
        <v/>
      </c>
      <c r="O12" t="n">
        <v>1.25</v>
      </c>
      <c r="P12" t="n">
        <v>1</v>
      </c>
      <c r="Q12" s="4">
        <f>P12*Premissas!$B$8*O12*0.25*J12*Premissas!$B$7</f>
        <v/>
      </c>
      <c r="R12" s="4">
        <f>N12-M12-Q12</f>
        <v/>
      </c>
      <c r="S12" s="5">
        <f>R12/N12</f>
        <v/>
      </c>
    </row>
    <row r="13">
      <c r="A13" t="inlineStr">
        <is>
          <t>D2 – edif. garagem + studios 100%</t>
        </is>
      </c>
      <c r="B13" t="n">
        <v>216</v>
      </c>
      <c r="C13" t="n">
        <v>0</v>
      </c>
      <c r="D13" t="n">
        <v>216</v>
      </c>
      <c r="E13" s="4" t="n">
        <v>0</v>
      </c>
      <c r="F13" s="4" t="n">
        <v>5860.08</v>
      </c>
      <c r="G13" t="n">
        <v>77</v>
      </c>
      <c r="H13" t="n">
        <v>75</v>
      </c>
      <c r="I13">
        <f>MAX(0,G13-H13)</f>
        <v/>
      </c>
      <c r="J13" s="4" t="n">
        <v>9201.030000000001</v>
      </c>
      <c r="K13" s="4" t="n">
        <v>30780439.62</v>
      </c>
      <c r="L13" t="n">
        <v>80</v>
      </c>
      <c r="M13" s="4">
        <f>K13+L13*Premissas!$B$6</f>
        <v/>
      </c>
      <c r="N13" s="4">
        <f>E13*Premissas!$B$3+F13*Premissas!$B$4+I13*Premissas!$B$5</f>
        <v/>
      </c>
      <c r="O13" t="n">
        <v>1.25</v>
      </c>
      <c r="P13" t="n">
        <v>1</v>
      </c>
      <c r="Q13" s="4">
        <f>P13*Premissas!$B$8*O13*0.25*J13*Premissas!$B$7</f>
        <v/>
      </c>
      <c r="R13" s="4">
        <f>N13-M13-Q13</f>
        <v/>
      </c>
      <c r="S13" s="5">
        <f>R13/N13</f>
        <v/>
      </c>
    </row>
    <row r="15">
      <c r="A15" s="6" t="inlineStr">
        <is>
          <t>Custo fixo = custo da obra do R00 ± diferenças de área/garagem (ver PDF comparativo); a parcela por unidade adicional é recalculada pela premissa.</t>
        </is>
      </c>
    </row>
    <row r="16">
      <c r="A16" s="6" t="inlineStr">
        <is>
          <t>Linhas -100 são indicativas (sem prancha). Vagas exigidas: LC 26/2020 art. 259 + Anexo VII (studios 1 vaga a cada 3; 2Q 1/un.; visitantes 5%).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2026-10-03T22:14:50Z</dcterms:created>
  <dcterms:modified xsi:type="dcterms:W3CDTF">2026-10-03T22:14:50Z</dcterms:modified>
</cp:coreProperties>
</file>