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Op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0" fillId="2" borderId="0" pivotButton="0" quotePrefix="0" xfId="0"/>
    <xf numFmtId="0" fontId="1" fillId="0" borderId="0" applyAlignment="1" pivotButton="0" quotePrefix="0" xfId="0">
      <alignment vertical="top" wrapText="1"/>
    </xf>
    <xf numFmtId="3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153 Estudo de Viabilidade – premissas (células amarelas são editáveis)</t>
        </is>
      </c>
    </row>
    <row r="3">
      <c r="A3" t="inlineStr">
        <is>
          <t>Preço 2Q (R$/m² privativo)</t>
        </is>
      </c>
      <c r="B3" s="2" t="n">
        <v>7000</v>
      </c>
    </row>
    <row r="4">
      <c r="A4" t="inlineStr">
        <is>
          <t>Preço 3Q (R$/m² privativo)</t>
        </is>
      </c>
      <c r="B4" s="2" t="n">
        <v>6800</v>
      </c>
    </row>
    <row r="5">
      <c r="A5" t="inlineStr">
        <is>
          <t>Preço studio (R$/m² privativo)</t>
        </is>
      </c>
      <c r="B5" s="2" t="n">
        <v>8400</v>
      </c>
    </row>
    <row r="6">
      <c r="A6" t="inlineStr">
        <is>
          <t>Preço vaga excedente (R$)</t>
        </is>
      </c>
      <c r="B6" s="2" t="n">
        <v>35000</v>
      </c>
    </row>
    <row r="7">
      <c r="A7" t="inlineStr">
        <is>
          <t>Custo R$/m² construído (torre/térreo/ático)</t>
        </is>
      </c>
      <c r="B7" s="2" t="n">
        <v>3470</v>
      </c>
    </row>
    <row r="8">
      <c r="A8" t="inlineStr">
        <is>
          <t>Custo R$/m² subsolo</t>
        </is>
      </c>
      <c r="B8" s="2" t="n">
        <v>3514</v>
      </c>
    </row>
    <row r="9">
      <c r="A9" t="inlineStr">
        <is>
          <t>Custo extra por studio (R$)</t>
        </is>
      </c>
      <c r="B9" s="2" t="n">
        <v>5000</v>
      </c>
    </row>
    <row r="10">
      <c r="A10" t="inlineStr">
        <is>
          <t>Demolição (R$)</t>
        </is>
      </c>
      <c r="B10" s="2" t="n">
        <v>40000</v>
      </c>
    </row>
    <row r="11">
      <c r="A11" t="inlineStr">
        <is>
          <t>Terreno – valor venal CND (R$)</t>
        </is>
      </c>
      <c r="B11" s="2" t="n">
        <v>3282771.82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Opção</t>
        </is>
      </c>
      <c r="B1" s="3" t="inlineStr">
        <is>
          <t>Unid.</t>
        </is>
      </c>
      <c r="C1" s="3" t="inlineStr">
        <is>
          <t>2Q</t>
        </is>
      </c>
      <c r="D1" s="3" t="inlineStr">
        <is>
          <t>3Q</t>
        </is>
      </c>
      <c r="E1" s="3" t="inlineStr">
        <is>
          <t>Studios</t>
        </is>
      </c>
      <c r="F1" s="3" t="inlineStr">
        <is>
          <t>Priv. 2Q (m²)</t>
        </is>
      </c>
      <c r="G1" s="3" t="inlineStr">
        <is>
          <t>Priv. 3Q (m²)</t>
        </is>
      </c>
      <c r="H1" s="3" t="inlineStr">
        <is>
          <t>Priv. studios (m²)</t>
        </is>
      </c>
      <c r="I1" s="3" t="inlineStr">
        <is>
          <t>Vagas</t>
        </is>
      </c>
      <c r="J1" s="3" t="inlineStr">
        <is>
          <t>Exigidas</t>
        </is>
      </c>
      <c r="K1" s="3" t="inlineStr">
        <is>
          <t>Excedentes</t>
        </is>
      </c>
      <c r="L1" s="3" t="inlineStr">
        <is>
          <t>Construída exceto subsolo (m²)</t>
        </is>
      </c>
      <c r="M1" s="3" t="inlineStr">
        <is>
          <t>Subsolo (m²)</t>
        </is>
      </c>
      <c r="N1" s="3" t="inlineStr">
        <is>
          <t>Custo obra (R$)</t>
        </is>
      </c>
      <c r="O1" s="3" t="inlineStr">
        <is>
          <t>VGV (R$)</t>
        </is>
      </c>
      <c r="P1" s="3" t="inlineStr">
        <is>
          <t>Resultado (R$)</t>
        </is>
      </c>
      <c r="Q1" s="3" t="inlineStr">
        <is>
          <t>Margem</t>
        </is>
      </c>
      <c r="R1" s="3" t="inlineStr">
        <is>
          <t>Resultado − terreno (R$)</t>
        </is>
      </c>
    </row>
    <row r="2">
      <c r="A2" t="inlineStr">
        <is>
          <t>Estudo 1 – 2Q e 3Q, CA básico (2,5)</t>
        </is>
      </c>
      <c r="B2" t="n">
        <v>64</v>
      </c>
      <c r="C2" t="n">
        <v>48</v>
      </c>
      <c r="D2" t="n">
        <v>16</v>
      </c>
      <c r="E2" t="n">
        <v>0</v>
      </c>
      <c r="F2" s="4" t="n">
        <v>1965.6</v>
      </c>
      <c r="G2" s="4" t="n">
        <v>848</v>
      </c>
      <c r="H2" s="4" t="n">
        <v>0</v>
      </c>
      <c r="I2" s="4" t="n">
        <v>67</v>
      </c>
      <c r="J2" s="4" t="n">
        <v>67</v>
      </c>
      <c r="K2" s="4">
        <f>MAX(0,I2-J2)</f>
        <v/>
      </c>
      <c r="L2" s="4" t="n">
        <v>4170.4</v>
      </c>
      <c r="M2" s="4" t="n">
        <v>1055.83</v>
      </c>
      <c r="N2" s="4">
        <f>L2*Premissas!$B$7+M2*Premissas!$B$8+E2*Premissas!$B$9+Premissas!$B$10</f>
        <v/>
      </c>
      <c r="O2" s="4">
        <f>F2*Premissas!$B$3+G2*Premissas!$B$4+H2*Premissas!$B$5+K2*Premissas!$B$6</f>
        <v/>
      </c>
      <c r="P2" s="4">
        <f>O2-N2</f>
        <v/>
      </c>
      <c r="Q2" s="5">
        <f>P2/O2</f>
        <v/>
      </c>
      <c r="R2" s="4">
        <f>P2-Premissas!$B$11</f>
        <v/>
      </c>
    </row>
    <row r="3">
      <c r="A3" t="inlineStr">
        <is>
          <t>Estudo 2 – 2Q e 3Q, CA máximo (3,0)</t>
        </is>
      </c>
      <c r="B3" t="n">
        <v>66</v>
      </c>
      <c r="C3" t="n">
        <v>22</v>
      </c>
      <c r="D3" t="n">
        <v>44</v>
      </c>
      <c r="E3" t="n">
        <v>0</v>
      </c>
      <c r="F3" s="4" t="n">
        <v>962.9400000000001</v>
      </c>
      <c r="G3" s="4" t="n">
        <v>2492.6</v>
      </c>
      <c r="H3" s="4" t="n">
        <v>0</v>
      </c>
      <c r="I3" s="4" t="n">
        <v>69</v>
      </c>
      <c r="J3" s="4" t="n">
        <v>69</v>
      </c>
      <c r="K3" s="4">
        <f>MAX(0,I3-J3)</f>
        <v/>
      </c>
      <c r="L3" s="4" t="n">
        <v>4982.77</v>
      </c>
      <c r="M3" s="4" t="n">
        <v>1055.83</v>
      </c>
      <c r="N3" s="4">
        <f>L3*Premissas!$B$7+M3*Premissas!$B$8+E3*Premissas!$B$9+Premissas!$B$10</f>
        <v/>
      </c>
      <c r="O3" s="4">
        <f>F3*Premissas!$B$3+G3*Premissas!$B$4+H3*Premissas!$B$5+K3*Premissas!$B$6</f>
        <v/>
      </c>
      <c r="P3" s="4">
        <f>O3-N3</f>
        <v/>
      </c>
      <c r="Q3" s="5">
        <f>P3/O3</f>
        <v/>
      </c>
      <c r="R3" s="4">
        <f>P3-Premissas!$B$11</f>
        <v/>
      </c>
    </row>
    <row r="4">
      <c r="A4" t="inlineStr">
        <is>
          <t>Estudo 3 – 2Q e 3Q, CA máx., 2 subsolos</t>
        </is>
      </c>
      <c r="B4" t="n">
        <v>80</v>
      </c>
      <c r="C4" t="n">
        <v>60</v>
      </c>
      <c r="D4" t="n">
        <v>20</v>
      </c>
      <c r="E4" t="n">
        <v>0</v>
      </c>
      <c r="F4" s="4" t="n">
        <v>2410.2</v>
      </c>
      <c r="G4" s="4" t="n">
        <v>1039.8</v>
      </c>
      <c r="H4" s="4" t="n">
        <v>0</v>
      </c>
      <c r="I4" s="4" t="n">
        <v>84</v>
      </c>
      <c r="J4" s="4" t="n">
        <v>84</v>
      </c>
      <c r="K4" s="4">
        <f>MAX(0,I4-J4)</f>
        <v/>
      </c>
      <c r="L4" s="4" t="n">
        <v>4972.44</v>
      </c>
      <c r="M4" s="4" t="n">
        <v>2111.67</v>
      </c>
      <c r="N4" s="4">
        <f>L4*Premissas!$B$7+M4*Premissas!$B$8+E4*Premissas!$B$9+Premissas!$B$10</f>
        <v/>
      </c>
      <c r="O4" s="4">
        <f>F4*Premissas!$B$3+G4*Premissas!$B$4+H4*Premissas!$B$5+K4*Premissas!$B$6</f>
        <v/>
      </c>
      <c r="P4" s="4">
        <f>O4-N4</f>
        <v/>
      </c>
      <c r="Q4" s="5">
        <f>P4/O4</f>
        <v/>
      </c>
      <c r="R4" s="4">
        <f>P4-Premissas!$B$11</f>
        <v/>
      </c>
    </row>
    <row r="5">
      <c r="A5" t="inlineStr">
        <is>
          <t>Estudo 4 – 2Q e studios, CA básico (2,5)</t>
        </is>
      </c>
      <c r="B5" t="n">
        <v>98</v>
      </c>
      <c r="C5" t="n">
        <v>14</v>
      </c>
      <c r="D5" t="n">
        <v>0</v>
      </c>
      <c r="E5" t="n">
        <v>84</v>
      </c>
      <c r="F5" s="4" t="n">
        <v>581.42</v>
      </c>
      <c r="G5" s="4" t="n">
        <v>0</v>
      </c>
      <c r="H5" s="4" t="n">
        <v>2216.76</v>
      </c>
      <c r="I5" s="4" t="n">
        <v>44</v>
      </c>
      <c r="J5" s="4" t="n">
        <v>44</v>
      </c>
      <c r="K5" s="4">
        <f>MAX(0,I5-J5)</f>
        <v/>
      </c>
      <c r="L5" s="4" t="n">
        <v>4166.75</v>
      </c>
      <c r="M5" s="4" t="n">
        <v>1055.83</v>
      </c>
      <c r="N5" s="4">
        <f>L5*Premissas!$B$7+M5*Premissas!$B$8+E5*Premissas!$B$9+Premissas!$B$10</f>
        <v/>
      </c>
      <c r="O5" s="4">
        <f>F5*Premissas!$B$3+G5*Premissas!$B$4+H5*Premissas!$B$5+K5*Premissas!$B$6</f>
        <v/>
      </c>
      <c r="P5" s="4">
        <f>O5-N5</f>
        <v/>
      </c>
      <c r="Q5" s="5">
        <f>P5/O5</f>
        <v/>
      </c>
      <c r="R5" s="4">
        <f>P5-Premissas!$B$11</f>
        <v/>
      </c>
    </row>
    <row r="6">
      <c r="A6" t="inlineStr">
        <is>
          <t>Estudo 5 – 2Q e studios, CA máximo (3,0)</t>
        </is>
      </c>
      <c r="B6" t="n">
        <v>112</v>
      </c>
      <c r="C6" t="n">
        <v>32</v>
      </c>
      <c r="D6" t="n">
        <v>0</v>
      </c>
      <c r="E6" t="n">
        <v>80</v>
      </c>
      <c r="F6" s="4" t="n">
        <v>1324.48</v>
      </c>
      <c r="G6" s="4" t="n">
        <v>0</v>
      </c>
      <c r="H6" s="4" t="n">
        <v>2104</v>
      </c>
      <c r="I6" s="4" t="n">
        <v>61</v>
      </c>
      <c r="J6" s="4" t="n">
        <v>61</v>
      </c>
      <c r="K6" s="4">
        <f>MAX(0,I6-J6)</f>
        <v/>
      </c>
      <c r="L6" s="4" t="n">
        <v>4961.4</v>
      </c>
      <c r="M6" s="4" t="n">
        <v>1055.83</v>
      </c>
      <c r="N6" s="4">
        <f>L6*Premissas!$B$7+M6*Premissas!$B$8+E6*Premissas!$B$9+Premissas!$B$10</f>
        <v/>
      </c>
      <c r="O6" s="4">
        <f>F6*Premissas!$B$3+G6*Premissas!$B$4+H6*Premissas!$B$5+K6*Premissas!$B$6</f>
        <v/>
      </c>
      <c r="P6" s="4">
        <f>O6-N6</f>
        <v/>
      </c>
      <c r="Q6" s="5">
        <f>P6/O6</f>
        <v/>
      </c>
      <c r="R6" s="4">
        <f>P6-Premissas!$B$11</f>
        <v/>
      </c>
    </row>
    <row r="7">
      <c r="A7" t="inlineStr">
        <is>
          <t>Estudo 6 – studios + 2Q, CA máximo (3,0)</t>
        </is>
      </c>
      <c r="B7" t="n">
        <v>120</v>
      </c>
      <c r="C7" t="n">
        <v>20</v>
      </c>
      <c r="D7" t="n">
        <v>0</v>
      </c>
      <c r="E7" t="n">
        <v>100</v>
      </c>
      <c r="F7" s="4" t="n">
        <v>826.2</v>
      </c>
      <c r="G7" s="4" t="n">
        <v>0</v>
      </c>
      <c r="H7" s="4" t="n">
        <v>2624</v>
      </c>
      <c r="I7" s="4" t="n">
        <v>56</v>
      </c>
      <c r="J7" s="4" t="n">
        <v>56</v>
      </c>
      <c r="K7" s="4">
        <f>MAX(0,I7-J7)</f>
        <v/>
      </c>
      <c r="L7" s="4" t="n">
        <v>4972.44</v>
      </c>
      <c r="M7" s="4" t="n">
        <v>1055.83</v>
      </c>
      <c r="N7" s="4">
        <f>L7*Premissas!$B$7+M7*Premissas!$B$8+E7*Premissas!$B$9+Premissas!$B$10</f>
        <v/>
      </c>
      <c r="O7" s="4">
        <f>F7*Premissas!$B$3+G7*Premissas!$B$4+H7*Premissas!$B$5+K7*Premissas!$B$6</f>
        <v/>
      </c>
      <c r="P7" s="4">
        <f>O7-N7</f>
        <v/>
      </c>
      <c r="Q7" s="5">
        <f>P7/O7</f>
        <v/>
      </c>
      <c r="R7" s="4">
        <f>P7-Premissas!$B$11</f>
        <v/>
      </c>
    </row>
    <row r="9">
      <c r="A9" s="6" t="inlineStr">
        <is>
          <t>Nenhuma opção atinge 130 unidades: sem contrapartida de EIV. Custos ±20% (CUB-PR ago/2026, R8-N).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2026-10-03T23:49:58Z</dcterms:created>
  <dcterms:modified xsi:type="dcterms:W3CDTF">2026-10-03T23:49:58Z</dcterms:modified>
</cp:coreProperties>
</file>